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60" windowWidth="19395" windowHeight="7620" activeTab="1"/>
  </bookViews>
  <sheets>
    <sheet name="Perceptron" sheetId="1" r:id="rId1"/>
    <sheet name="Backpropagation" sheetId="5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J6" i="5"/>
  <c r="L6" s="1"/>
  <c r="I6"/>
  <c r="K6" s="1"/>
  <c r="J5"/>
  <c r="L5" s="1"/>
  <c r="I5"/>
  <c r="K5" s="1"/>
  <c r="J4"/>
  <c r="L4" s="1"/>
  <c r="I4"/>
  <c r="K4" s="1"/>
  <c r="J3"/>
  <c r="L3" s="1"/>
  <c r="I3"/>
  <c r="K3" s="1"/>
  <c r="I4" i="1"/>
  <c r="K4" s="1"/>
  <c r="J4"/>
  <c r="L4" s="1"/>
  <c r="I5"/>
  <c r="K5" s="1"/>
  <c r="J5"/>
  <c r="L5" s="1"/>
  <c r="I6"/>
  <c r="J6"/>
  <c r="L6" s="1"/>
  <c r="I3"/>
  <c r="J3"/>
  <c r="L3" s="1"/>
  <c r="K3"/>
  <c r="K6"/>
  <c r="T3" i="5" l="1"/>
  <c r="V3" s="1"/>
  <c r="S3"/>
  <c r="U3" s="1"/>
  <c r="T4"/>
  <c r="V4" s="1"/>
  <c r="S4"/>
  <c r="U4" s="1"/>
  <c r="T5"/>
  <c r="V5" s="1"/>
  <c r="S5"/>
  <c r="U5" s="1"/>
  <c r="T6"/>
  <c r="V6" s="1"/>
  <c r="S6"/>
  <c r="U6" s="1"/>
  <c r="T3" i="1"/>
  <c r="S4"/>
  <c r="U4" s="1"/>
  <c r="T4"/>
  <c r="S5"/>
  <c r="U5" s="1"/>
  <c r="T6"/>
  <c r="V6" s="1"/>
  <c r="S3"/>
  <c r="U3" s="1"/>
  <c r="V3"/>
  <c r="S6"/>
  <c r="U6" s="1"/>
  <c r="V4"/>
  <c r="T5"/>
  <c r="V5" s="1"/>
  <c r="Z5" i="5" l="1"/>
  <c r="AA5" s="1"/>
  <c r="G13" s="1"/>
  <c r="Z4"/>
  <c r="AA4" s="1"/>
  <c r="G12" s="1"/>
  <c r="Z6"/>
  <c r="AA6" s="1"/>
  <c r="G14" s="1"/>
  <c r="Z3"/>
  <c r="AA3" s="1"/>
  <c r="G11" s="1"/>
  <c r="Z5" i="1"/>
  <c r="AA5" s="1"/>
  <c r="Z6"/>
  <c r="AA6" s="1"/>
  <c r="Z4"/>
  <c r="AA4" s="1"/>
  <c r="Z3"/>
  <c r="AA3" s="1"/>
  <c r="F13" i="5" l="1"/>
  <c r="H13" s="1"/>
  <c r="M13"/>
  <c r="K13"/>
  <c r="J13"/>
  <c r="M11"/>
  <c r="K11"/>
  <c r="J11"/>
  <c r="M14"/>
  <c r="K14"/>
  <c r="J14"/>
  <c r="M12"/>
  <c r="J12"/>
  <c r="K12"/>
  <c r="F11"/>
  <c r="F12"/>
  <c r="F14"/>
  <c r="N11"/>
  <c r="A11"/>
  <c r="N14"/>
  <c r="A14"/>
  <c r="N12"/>
  <c r="A12"/>
  <c r="N13"/>
  <c r="A13"/>
  <c r="F12" i="1"/>
  <c r="A12"/>
  <c r="F13"/>
  <c r="A13"/>
  <c r="F11"/>
  <c r="A11"/>
  <c r="F14"/>
  <c r="A14"/>
  <c r="L13" i="5" l="1"/>
  <c r="I13"/>
  <c r="H14"/>
  <c r="L14"/>
  <c r="I14"/>
  <c r="H11"/>
  <c r="L11"/>
  <c r="I11"/>
  <c r="H12"/>
  <c r="L12"/>
  <c r="I12"/>
  <c r="E13"/>
  <c r="C13"/>
  <c r="D13"/>
  <c r="E12"/>
  <c r="C12"/>
  <c r="D12"/>
  <c r="E14"/>
  <c r="D14"/>
  <c r="C14"/>
  <c r="E11"/>
  <c r="C11"/>
  <c r="D11"/>
  <c r="O11"/>
  <c r="D14" i="1"/>
  <c r="E14"/>
  <c r="C14"/>
  <c r="E11"/>
  <c r="C11"/>
  <c r="D11"/>
  <c r="E13"/>
  <c r="D13"/>
  <c r="C13"/>
  <c r="D12"/>
  <c r="E12"/>
  <c r="C12"/>
  <c r="G11"/>
</calcChain>
</file>

<file path=xl/sharedStrings.xml><?xml version="1.0" encoding="utf-8"?>
<sst xmlns="http://schemas.openxmlformats.org/spreadsheetml/2006/main" count="99" uniqueCount="55">
  <si>
    <t>o</t>
    <phoneticPr fontId="2"/>
  </si>
  <si>
    <t>limit</t>
    <phoneticPr fontId="2"/>
  </si>
  <si>
    <t>u2</t>
    <phoneticPr fontId="2"/>
  </si>
  <si>
    <t>wo0</t>
    <phoneticPr fontId="2"/>
  </si>
  <si>
    <t>wo1</t>
    <phoneticPr fontId="2"/>
  </si>
  <si>
    <t>wm00</t>
    <phoneticPr fontId="2"/>
  </si>
  <si>
    <t>wm01</t>
    <phoneticPr fontId="2"/>
  </si>
  <si>
    <t>wm11</t>
    <phoneticPr fontId="2"/>
  </si>
  <si>
    <t>wm10</t>
    <phoneticPr fontId="2"/>
  </si>
  <si>
    <t>vm0</t>
    <phoneticPr fontId="2"/>
  </si>
  <si>
    <t>vm1</t>
    <phoneticPr fontId="2"/>
  </si>
  <si>
    <t>um0</t>
    <phoneticPr fontId="2"/>
  </si>
  <si>
    <t>um1</t>
    <phoneticPr fontId="2"/>
  </si>
  <si>
    <t>xm0</t>
    <phoneticPr fontId="2"/>
  </si>
  <si>
    <t>xm1</t>
    <phoneticPr fontId="2"/>
  </si>
  <si>
    <t>xo0</t>
    <phoneticPr fontId="2"/>
  </si>
  <si>
    <t>xo1</t>
    <phoneticPr fontId="2"/>
  </si>
  <si>
    <t>ui0</t>
    <phoneticPr fontId="2"/>
  </si>
  <si>
    <t>ui1</t>
    <phoneticPr fontId="2"/>
  </si>
  <si>
    <t>vi0</t>
    <phoneticPr fontId="2"/>
  </si>
  <si>
    <t>vi1</t>
    <phoneticPr fontId="2"/>
  </si>
  <si>
    <t>wi0</t>
    <phoneticPr fontId="2"/>
  </si>
  <si>
    <t>wi1</t>
    <phoneticPr fontId="2"/>
  </si>
  <si>
    <t>学習データ</t>
    <rPh sb="0" eb="2">
      <t>ガクシュウ</t>
    </rPh>
    <phoneticPr fontId="2"/>
  </si>
  <si>
    <t>重み付け係数</t>
    <rPh sb="0" eb="1">
      <t>オモ</t>
    </rPh>
    <rPh sb="2" eb="3">
      <t>ヅ</t>
    </rPh>
    <rPh sb="4" eb="6">
      <t>ケイスウ</t>
    </rPh>
    <phoneticPr fontId="2"/>
  </si>
  <si>
    <t>閾値</t>
    <rPh sb="0" eb="2">
      <t>シキイチ</t>
    </rPh>
    <phoneticPr fontId="2"/>
  </si>
  <si>
    <t>出力</t>
    <rPh sb="0" eb="2">
      <t>シュツリョク</t>
    </rPh>
    <phoneticPr fontId="2"/>
  </si>
  <si>
    <t>出力値</t>
    <rPh sb="0" eb="2">
      <t>シュツリョク</t>
    </rPh>
    <rPh sb="2" eb="3">
      <t>チ</t>
    </rPh>
    <phoneticPr fontId="2"/>
  </si>
  <si>
    <t>alpha</t>
    <phoneticPr fontId="2"/>
  </si>
  <si>
    <t>wo0'</t>
    <phoneticPr fontId="2"/>
  </si>
  <si>
    <t>err</t>
    <phoneticPr fontId="2"/>
  </si>
  <si>
    <t>sum(err)</t>
    <phoneticPr fontId="2"/>
  </si>
  <si>
    <t>wo1'</t>
    <phoneticPr fontId="2"/>
  </si>
  <si>
    <t>d</t>
    <phoneticPr fontId="2"/>
  </si>
  <si>
    <t>vo'</t>
    <phoneticPr fontId="2"/>
  </si>
  <si>
    <t>vo</t>
    <phoneticPr fontId="2"/>
  </si>
  <si>
    <t>delta0</t>
    <phoneticPr fontId="2"/>
  </si>
  <si>
    <t>delta1</t>
    <phoneticPr fontId="2"/>
  </si>
  <si>
    <t>wm00'</t>
    <phoneticPr fontId="2"/>
  </si>
  <si>
    <t>Threshold</t>
    <phoneticPr fontId="2"/>
  </si>
  <si>
    <t>wm01'</t>
    <phoneticPr fontId="2"/>
  </si>
  <si>
    <t>wm10'</t>
    <phoneticPr fontId="2"/>
  </si>
  <si>
    <t>wm11'</t>
    <phoneticPr fontId="2"/>
  </si>
  <si>
    <t>vm0'</t>
    <phoneticPr fontId="2"/>
  </si>
  <si>
    <t>vm1'</t>
    <phoneticPr fontId="2"/>
  </si>
  <si>
    <t>Synaptic weight</t>
    <phoneticPr fontId="2"/>
  </si>
  <si>
    <t>Output</t>
    <phoneticPr fontId="2"/>
  </si>
  <si>
    <t>Activate output</t>
  </si>
  <si>
    <t>Activate output</t>
    <phoneticPr fontId="2"/>
  </si>
  <si>
    <t>Delta learning rule</t>
    <phoneticPr fontId="2"/>
  </si>
  <si>
    <t>Training signal</t>
    <phoneticPr fontId="2"/>
  </si>
  <si>
    <t>Activate output</t>
    <phoneticPr fontId="2"/>
  </si>
  <si>
    <t>xi0</t>
    <phoneticPr fontId="2"/>
  </si>
  <si>
    <t>xi1</t>
    <phoneticPr fontId="2"/>
  </si>
  <si>
    <t>xi0</t>
    <phoneticPr fontId="2"/>
  </si>
</sst>
</file>

<file path=xl/styles.xml><?xml version="1.0" encoding="utf-8"?>
<styleSheet xmlns="http://schemas.openxmlformats.org/spreadsheetml/2006/main">
  <fonts count="3">
    <font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ill="1" applyBorder="1">
      <alignment vertical="center"/>
    </xf>
    <xf numFmtId="0" fontId="0" fillId="0" borderId="7" xfId="0" applyBorder="1">
      <alignment vertical="center"/>
    </xf>
    <xf numFmtId="0" fontId="0" fillId="2" borderId="3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2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0" borderId="9" xfId="0" applyBorder="1">
      <alignment vertical="center"/>
    </xf>
    <xf numFmtId="0" fontId="0" fillId="0" borderId="9" xfId="0" applyFill="1" applyBorder="1">
      <alignment vertical="center"/>
    </xf>
    <xf numFmtId="0" fontId="1" fillId="0" borderId="6" xfId="0" applyFont="1" applyBorder="1">
      <alignment vertical="center"/>
    </xf>
    <xf numFmtId="0" fontId="1" fillId="0" borderId="3" xfId="0" applyFont="1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0" fillId="3" borderId="3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" xfId="0" applyFill="1" applyBorder="1">
      <alignment vertical="center"/>
    </xf>
    <xf numFmtId="0" fontId="1" fillId="2" borderId="6" xfId="0" applyFont="1" applyFill="1" applyBorder="1">
      <alignment vertical="center"/>
    </xf>
    <xf numFmtId="0" fontId="1" fillId="2" borderId="3" xfId="0" applyFont="1" applyFill="1" applyBorder="1">
      <alignment vertical="center"/>
    </xf>
    <xf numFmtId="0" fontId="0" fillId="3" borderId="12" xfId="0" applyFill="1" applyBorder="1">
      <alignment vertical="center"/>
    </xf>
    <xf numFmtId="0" fontId="0" fillId="3" borderId="8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14</xdr:row>
      <xdr:rowOff>104775</xdr:rowOff>
    </xdr:from>
    <xdr:to>
      <xdr:col>17</xdr:col>
      <xdr:colOff>211420</xdr:colOff>
      <xdr:row>28</xdr:row>
      <xdr:rowOff>66675</xdr:rowOff>
    </xdr:to>
    <xdr:grpSp>
      <xdr:nvGrpSpPr>
        <xdr:cNvPr id="75" name="グループ化 74"/>
        <xdr:cNvGrpSpPr/>
      </xdr:nvGrpSpPr>
      <xdr:grpSpPr>
        <a:xfrm>
          <a:off x="276225" y="2543175"/>
          <a:ext cx="7212295" cy="2362200"/>
          <a:chOff x="276225" y="2543175"/>
          <a:chExt cx="7212295" cy="2362200"/>
        </a:xfrm>
      </xdr:grpSpPr>
      <xdr:sp macro="" textlink="">
        <xdr:nvSpPr>
          <xdr:cNvPr id="66" name="正方形/長方形 65"/>
          <xdr:cNvSpPr/>
        </xdr:nvSpPr>
        <xdr:spPr>
          <a:xfrm>
            <a:off x="1362075" y="2676525"/>
            <a:ext cx="1257300" cy="2228850"/>
          </a:xfrm>
          <a:prstGeom prst="rect">
            <a:avLst/>
          </a:prstGeom>
          <a:noFill/>
          <a:ln>
            <a:prstDash val="dash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grpSp>
        <xdr:nvGrpSpPr>
          <xdr:cNvPr id="10" name="グループ化 9"/>
          <xdr:cNvGrpSpPr/>
        </xdr:nvGrpSpPr>
        <xdr:grpSpPr>
          <a:xfrm>
            <a:off x="1543050" y="2886075"/>
            <a:ext cx="1000125" cy="828675"/>
            <a:chOff x="933450" y="2886075"/>
            <a:chExt cx="1000125" cy="828675"/>
          </a:xfrm>
        </xdr:grpSpPr>
        <xdr:grpSp>
          <xdr:nvGrpSpPr>
            <xdr:cNvPr id="4" name="グループ化 3"/>
            <xdr:cNvGrpSpPr/>
          </xdr:nvGrpSpPr>
          <xdr:grpSpPr>
            <a:xfrm>
              <a:off x="962025" y="2886075"/>
              <a:ext cx="971550" cy="828675"/>
              <a:chOff x="962025" y="2886075"/>
              <a:chExt cx="971550" cy="828675"/>
            </a:xfrm>
          </xdr:grpSpPr>
          <xdr:sp macro="" textlink="">
            <xdr:nvSpPr>
              <xdr:cNvPr id="2" name="円/楕円 1"/>
              <xdr:cNvSpPr/>
            </xdr:nvSpPr>
            <xdr:spPr>
              <a:xfrm>
                <a:off x="962025" y="2886075"/>
                <a:ext cx="828675" cy="828675"/>
              </a:xfrm>
              <a:prstGeom prst="ellipse">
                <a:avLst/>
              </a:prstGeom>
              <a:solidFill>
                <a:schemeClr val="tx2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  <xdr:sp macro="" textlink="">
            <xdr:nvSpPr>
              <xdr:cNvPr id="3" name="円弧 2"/>
              <xdr:cNvSpPr/>
            </xdr:nvSpPr>
            <xdr:spPr>
              <a:xfrm rot="10800000">
                <a:off x="1438275" y="3048000"/>
                <a:ext cx="495300" cy="495300"/>
              </a:xfrm>
              <a:prstGeom prst="arc">
                <a:avLst>
                  <a:gd name="adj1" fmla="val 16200000"/>
                  <a:gd name="adj2" fmla="val 5325394"/>
                </a:avLst>
              </a:prstGeom>
              <a:ln w="25400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</xdr:grpSp>
        <xdr:sp macro="" textlink="">
          <xdr:nvSpPr>
            <xdr:cNvPr id="8" name="テキスト ボックス 7"/>
            <xdr:cNvSpPr txBox="1"/>
          </xdr:nvSpPr>
          <xdr:spPr>
            <a:xfrm>
              <a:off x="1466850" y="3171825"/>
              <a:ext cx="368562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spAutoFit/>
            </a:bodyPr>
            <a:lstStyle/>
            <a:p>
              <a:r>
                <a:rPr kumimoji="1" lang="en-US" altLang="ja-JP" sz="1100"/>
                <a:t>Vi0</a:t>
              </a:r>
              <a:endParaRPr kumimoji="1" lang="ja-JP" altLang="en-US" sz="1100"/>
            </a:p>
          </xdr:txBody>
        </xdr:sp>
        <xdr:sp macro="" textlink="">
          <xdr:nvSpPr>
            <xdr:cNvPr id="9" name="テキスト ボックス 8"/>
            <xdr:cNvSpPr txBox="1"/>
          </xdr:nvSpPr>
          <xdr:spPr>
            <a:xfrm>
              <a:off x="933450" y="3171825"/>
              <a:ext cx="41402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spAutoFit/>
            </a:bodyPr>
            <a:lstStyle/>
            <a:p>
              <a:r>
                <a:rPr kumimoji="1" lang="en-US" altLang="ja-JP" sz="1100"/>
                <a:t>Wi0</a:t>
              </a:r>
              <a:endParaRPr kumimoji="1" lang="ja-JP" altLang="en-US" sz="1100"/>
            </a:p>
          </xdr:txBody>
        </xdr:sp>
      </xdr:grpSp>
      <xdr:grpSp>
        <xdr:nvGrpSpPr>
          <xdr:cNvPr id="11" name="グループ化 10"/>
          <xdr:cNvGrpSpPr/>
        </xdr:nvGrpSpPr>
        <xdr:grpSpPr>
          <a:xfrm>
            <a:off x="1543050" y="3981450"/>
            <a:ext cx="1000125" cy="828675"/>
            <a:chOff x="933450" y="2886075"/>
            <a:chExt cx="1000125" cy="828675"/>
          </a:xfrm>
        </xdr:grpSpPr>
        <xdr:grpSp>
          <xdr:nvGrpSpPr>
            <xdr:cNvPr id="12" name="グループ化 3"/>
            <xdr:cNvGrpSpPr/>
          </xdr:nvGrpSpPr>
          <xdr:grpSpPr>
            <a:xfrm>
              <a:off x="962025" y="2886075"/>
              <a:ext cx="971550" cy="828675"/>
              <a:chOff x="962025" y="2886075"/>
              <a:chExt cx="971550" cy="828675"/>
            </a:xfrm>
          </xdr:grpSpPr>
          <xdr:sp macro="" textlink="">
            <xdr:nvSpPr>
              <xdr:cNvPr id="15" name="円/楕円 14"/>
              <xdr:cNvSpPr/>
            </xdr:nvSpPr>
            <xdr:spPr>
              <a:xfrm>
                <a:off x="962025" y="2886075"/>
                <a:ext cx="828675" cy="828675"/>
              </a:xfrm>
              <a:prstGeom prst="ellipse">
                <a:avLst/>
              </a:prstGeom>
              <a:solidFill>
                <a:schemeClr val="tx2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  <xdr:sp macro="" textlink="">
            <xdr:nvSpPr>
              <xdr:cNvPr id="16" name="円弧 2"/>
              <xdr:cNvSpPr/>
            </xdr:nvSpPr>
            <xdr:spPr>
              <a:xfrm rot="10800000">
                <a:off x="1438275" y="3048000"/>
                <a:ext cx="495300" cy="495300"/>
              </a:xfrm>
              <a:prstGeom prst="arc">
                <a:avLst>
                  <a:gd name="adj1" fmla="val 16200000"/>
                  <a:gd name="adj2" fmla="val 5325394"/>
                </a:avLst>
              </a:prstGeom>
              <a:ln w="25400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</xdr:grpSp>
        <xdr:sp macro="" textlink="">
          <xdr:nvSpPr>
            <xdr:cNvPr id="13" name="テキスト ボックス 12"/>
            <xdr:cNvSpPr txBox="1"/>
          </xdr:nvSpPr>
          <xdr:spPr>
            <a:xfrm>
              <a:off x="1466850" y="3171825"/>
              <a:ext cx="368562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spAutoFit/>
            </a:bodyPr>
            <a:lstStyle/>
            <a:p>
              <a:r>
                <a:rPr kumimoji="1" lang="en-US" altLang="ja-JP" sz="1100"/>
                <a:t>Vi1</a:t>
              </a:r>
              <a:endParaRPr kumimoji="1" lang="ja-JP" altLang="en-US" sz="1100"/>
            </a:p>
          </xdr:txBody>
        </xdr:sp>
        <xdr:sp macro="" textlink="">
          <xdr:nvSpPr>
            <xdr:cNvPr id="14" name="テキスト ボックス 13"/>
            <xdr:cNvSpPr txBox="1"/>
          </xdr:nvSpPr>
          <xdr:spPr>
            <a:xfrm>
              <a:off x="933450" y="3171825"/>
              <a:ext cx="41402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spAutoFit/>
            </a:bodyPr>
            <a:lstStyle/>
            <a:p>
              <a:r>
                <a:rPr kumimoji="1" lang="en-US" altLang="ja-JP" sz="1100"/>
                <a:t>Wi1</a:t>
              </a:r>
              <a:endParaRPr kumimoji="1" lang="ja-JP" altLang="en-US" sz="1100"/>
            </a:p>
          </xdr:txBody>
        </xdr:sp>
      </xdr:grpSp>
      <xdr:cxnSp macro="">
        <xdr:nvCxnSpPr>
          <xdr:cNvPr id="26" name="直線矢印コネクタ 25"/>
          <xdr:cNvCxnSpPr>
            <a:stCxn id="8" idx="3"/>
            <a:endCxn id="20" idx="1"/>
          </xdr:cNvCxnSpPr>
        </xdr:nvCxnSpPr>
        <xdr:spPr>
          <a:xfrm>
            <a:off x="2445012" y="3304105"/>
            <a:ext cx="869688" cy="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grpSp>
        <xdr:nvGrpSpPr>
          <xdr:cNvPr id="29" name="グループ化 28"/>
          <xdr:cNvGrpSpPr/>
        </xdr:nvGrpSpPr>
        <xdr:grpSpPr>
          <a:xfrm>
            <a:off x="3314700" y="2886075"/>
            <a:ext cx="1000125" cy="828675"/>
            <a:chOff x="2705100" y="2886075"/>
            <a:chExt cx="1000125" cy="828675"/>
          </a:xfrm>
        </xdr:grpSpPr>
        <xdr:grpSp>
          <xdr:nvGrpSpPr>
            <xdr:cNvPr id="18" name="グループ化 3"/>
            <xdr:cNvGrpSpPr/>
          </xdr:nvGrpSpPr>
          <xdr:grpSpPr>
            <a:xfrm>
              <a:off x="2733675" y="2886075"/>
              <a:ext cx="971550" cy="828675"/>
              <a:chOff x="962025" y="2895600"/>
              <a:chExt cx="971550" cy="828675"/>
            </a:xfrm>
          </xdr:grpSpPr>
          <xdr:sp macro="" textlink="">
            <xdr:nvSpPr>
              <xdr:cNvPr id="21" name="円/楕円 20"/>
              <xdr:cNvSpPr/>
            </xdr:nvSpPr>
            <xdr:spPr>
              <a:xfrm>
                <a:off x="962025" y="2895600"/>
                <a:ext cx="828675" cy="828675"/>
              </a:xfrm>
              <a:prstGeom prst="ellipse">
                <a:avLst/>
              </a:prstGeom>
              <a:solidFill>
                <a:schemeClr val="tx2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  <xdr:sp macro="" textlink="">
            <xdr:nvSpPr>
              <xdr:cNvPr id="22" name="円弧 2"/>
              <xdr:cNvSpPr/>
            </xdr:nvSpPr>
            <xdr:spPr>
              <a:xfrm rot="10800000">
                <a:off x="1438275" y="3048000"/>
                <a:ext cx="495300" cy="495300"/>
              </a:xfrm>
              <a:prstGeom prst="arc">
                <a:avLst>
                  <a:gd name="adj1" fmla="val 16200000"/>
                  <a:gd name="adj2" fmla="val 5325394"/>
                </a:avLst>
              </a:prstGeom>
              <a:ln w="25400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</xdr:grpSp>
        <xdr:sp macro="" textlink="">
          <xdr:nvSpPr>
            <xdr:cNvPr id="19" name="テキスト ボックス 18"/>
            <xdr:cNvSpPr txBox="1"/>
          </xdr:nvSpPr>
          <xdr:spPr>
            <a:xfrm>
              <a:off x="3171825" y="3152775"/>
              <a:ext cx="368562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Vm0</a:t>
              </a:r>
              <a:endParaRPr kumimoji="1" lang="ja-JP" altLang="en-US" sz="1100"/>
            </a:p>
          </xdr:txBody>
        </xdr:sp>
        <xdr:sp macro="" textlink="">
          <xdr:nvSpPr>
            <xdr:cNvPr id="20" name="テキスト ボックス 19"/>
            <xdr:cNvSpPr txBox="1"/>
          </xdr:nvSpPr>
          <xdr:spPr>
            <a:xfrm>
              <a:off x="2705100" y="3171825"/>
              <a:ext cx="4953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Wm00</a:t>
              </a:r>
              <a:endParaRPr kumimoji="1" lang="ja-JP" altLang="en-US" sz="1100"/>
            </a:p>
          </xdr:txBody>
        </xdr:sp>
        <xdr:sp macro="" textlink="">
          <xdr:nvSpPr>
            <xdr:cNvPr id="28" name="テキスト ボックス 27"/>
            <xdr:cNvSpPr txBox="1"/>
          </xdr:nvSpPr>
          <xdr:spPr>
            <a:xfrm>
              <a:off x="2819399" y="3371850"/>
              <a:ext cx="50482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Wm01</a:t>
              </a:r>
              <a:endParaRPr kumimoji="1" lang="ja-JP" altLang="en-US" sz="1100"/>
            </a:p>
          </xdr:txBody>
        </xdr:sp>
      </xdr:grpSp>
      <xdr:grpSp>
        <xdr:nvGrpSpPr>
          <xdr:cNvPr id="30" name="グループ化 29"/>
          <xdr:cNvGrpSpPr/>
        </xdr:nvGrpSpPr>
        <xdr:grpSpPr>
          <a:xfrm>
            <a:off x="3324224" y="3971925"/>
            <a:ext cx="1000126" cy="828675"/>
            <a:chOff x="2705099" y="2867025"/>
            <a:chExt cx="1000126" cy="828675"/>
          </a:xfrm>
        </xdr:grpSpPr>
        <xdr:grpSp>
          <xdr:nvGrpSpPr>
            <xdr:cNvPr id="31" name="グループ化 3"/>
            <xdr:cNvGrpSpPr/>
          </xdr:nvGrpSpPr>
          <xdr:grpSpPr>
            <a:xfrm>
              <a:off x="2733675" y="2867025"/>
              <a:ext cx="971550" cy="828675"/>
              <a:chOff x="962025" y="2876550"/>
              <a:chExt cx="971550" cy="828675"/>
            </a:xfrm>
          </xdr:grpSpPr>
          <xdr:sp macro="" textlink="">
            <xdr:nvSpPr>
              <xdr:cNvPr id="35" name="円/楕円 34"/>
              <xdr:cNvSpPr/>
            </xdr:nvSpPr>
            <xdr:spPr>
              <a:xfrm>
                <a:off x="962025" y="2876550"/>
                <a:ext cx="828675" cy="828675"/>
              </a:xfrm>
              <a:prstGeom prst="ellipse">
                <a:avLst/>
              </a:prstGeom>
              <a:solidFill>
                <a:schemeClr val="tx2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  <xdr:sp macro="" textlink="">
            <xdr:nvSpPr>
              <xdr:cNvPr id="36" name="円弧 2"/>
              <xdr:cNvSpPr/>
            </xdr:nvSpPr>
            <xdr:spPr>
              <a:xfrm rot="10800000">
                <a:off x="1438275" y="3048000"/>
                <a:ext cx="495300" cy="495300"/>
              </a:xfrm>
              <a:prstGeom prst="arc">
                <a:avLst>
                  <a:gd name="adj1" fmla="val 16200000"/>
                  <a:gd name="adj2" fmla="val 5325394"/>
                </a:avLst>
              </a:prstGeom>
              <a:ln w="25400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</xdr:grpSp>
        <xdr:sp macro="" textlink="">
          <xdr:nvSpPr>
            <xdr:cNvPr id="32" name="テキスト ボックス 31"/>
            <xdr:cNvSpPr txBox="1"/>
          </xdr:nvSpPr>
          <xdr:spPr>
            <a:xfrm>
              <a:off x="3190875" y="3162300"/>
              <a:ext cx="368562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Vm1</a:t>
              </a:r>
              <a:endParaRPr kumimoji="1" lang="ja-JP" altLang="en-US" sz="1100"/>
            </a:p>
          </xdr:txBody>
        </xdr:sp>
        <xdr:sp macro="" textlink="">
          <xdr:nvSpPr>
            <xdr:cNvPr id="33" name="テキスト ボックス 32"/>
            <xdr:cNvSpPr txBox="1"/>
          </xdr:nvSpPr>
          <xdr:spPr>
            <a:xfrm>
              <a:off x="2705099" y="3162300"/>
              <a:ext cx="52387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Wm11</a:t>
              </a:r>
              <a:endParaRPr kumimoji="1" lang="ja-JP" altLang="en-US" sz="1100"/>
            </a:p>
          </xdr:txBody>
        </xdr:sp>
        <xdr:sp macro="" textlink="">
          <xdr:nvSpPr>
            <xdr:cNvPr id="34" name="テキスト ボックス 33"/>
            <xdr:cNvSpPr txBox="1"/>
          </xdr:nvSpPr>
          <xdr:spPr>
            <a:xfrm>
              <a:off x="2809874" y="2981325"/>
              <a:ext cx="52387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Wm10</a:t>
              </a:r>
              <a:endParaRPr kumimoji="1" lang="ja-JP" altLang="en-US" sz="1100"/>
            </a:p>
          </xdr:txBody>
        </xdr:sp>
      </xdr:grpSp>
      <xdr:grpSp>
        <xdr:nvGrpSpPr>
          <xdr:cNvPr id="37" name="グループ化 36"/>
          <xdr:cNvGrpSpPr/>
        </xdr:nvGrpSpPr>
        <xdr:grpSpPr>
          <a:xfrm>
            <a:off x="5267325" y="3286125"/>
            <a:ext cx="971550" cy="828675"/>
            <a:chOff x="2733675" y="2876550"/>
            <a:chExt cx="971550" cy="828675"/>
          </a:xfrm>
        </xdr:grpSpPr>
        <xdr:grpSp>
          <xdr:nvGrpSpPr>
            <xdr:cNvPr id="38" name="グループ化 3"/>
            <xdr:cNvGrpSpPr/>
          </xdr:nvGrpSpPr>
          <xdr:grpSpPr>
            <a:xfrm>
              <a:off x="2733675" y="2876550"/>
              <a:ext cx="971550" cy="828675"/>
              <a:chOff x="962025" y="2886075"/>
              <a:chExt cx="971550" cy="828675"/>
            </a:xfrm>
          </xdr:grpSpPr>
          <xdr:sp macro="" textlink="">
            <xdr:nvSpPr>
              <xdr:cNvPr id="42" name="円/楕円 41"/>
              <xdr:cNvSpPr/>
            </xdr:nvSpPr>
            <xdr:spPr>
              <a:xfrm>
                <a:off x="962025" y="2886075"/>
                <a:ext cx="828675" cy="828675"/>
              </a:xfrm>
              <a:prstGeom prst="ellipse">
                <a:avLst/>
              </a:prstGeom>
              <a:solidFill>
                <a:schemeClr val="tx2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  <xdr:sp macro="" textlink="">
            <xdr:nvSpPr>
              <xdr:cNvPr id="43" name="円弧 2"/>
              <xdr:cNvSpPr/>
            </xdr:nvSpPr>
            <xdr:spPr>
              <a:xfrm rot="10800000">
                <a:off x="1438275" y="3048000"/>
                <a:ext cx="495300" cy="495300"/>
              </a:xfrm>
              <a:prstGeom prst="arc">
                <a:avLst>
                  <a:gd name="adj1" fmla="val 16200000"/>
                  <a:gd name="adj2" fmla="val 5325394"/>
                </a:avLst>
              </a:prstGeom>
              <a:ln w="25400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rtlCol="0" anchor="ctr"/>
              <a:lstStyle/>
              <a:p>
                <a:pPr algn="ctr"/>
                <a:endParaRPr kumimoji="1" lang="ja-JP" altLang="en-US" sz="1100"/>
              </a:p>
            </xdr:txBody>
          </xdr:sp>
        </xdr:grpSp>
        <xdr:sp macro="" textlink="">
          <xdr:nvSpPr>
            <xdr:cNvPr id="39" name="テキスト ボックス 38"/>
            <xdr:cNvSpPr txBox="1"/>
          </xdr:nvSpPr>
          <xdr:spPr>
            <a:xfrm>
              <a:off x="3171825" y="3152775"/>
              <a:ext cx="368562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Vm0</a:t>
              </a:r>
              <a:endParaRPr kumimoji="1" lang="ja-JP" altLang="en-US" sz="1100"/>
            </a:p>
          </xdr:txBody>
        </xdr:sp>
        <xdr:sp macro="" textlink="">
          <xdr:nvSpPr>
            <xdr:cNvPr id="40" name="テキスト ボックス 39"/>
            <xdr:cNvSpPr txBox="1"/>
          </xdr:nvSpPr>
          <xdr:spPr>
            <a:xfrm>
              <a:off x="2781300" y="2971800"/>
              <a:ext cx="41402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Wo0</a:t>
              </a:r>
              <a:endParaRPr kumimoji="1" lang="ja-JP" altLang="en-US" sz="1100"/>
            </a:p>
          </xdr:txBody>
        </xdr:sp>
        <xdr:sp macro="" textlink="">
          <xdr:nvSpPr>
            <xdr:cNvPr id="41" name="テキスト ボックス 40"/>
            <xdr:cNvSpPr txBox="1"/>
          </xdr:nvSpPr>
          <xdr:spPr>
            <a:xfrm>
              <a:off x="2781300" y="3371850"/>
              <a:ext cx="41402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noAutofit/>
            </a:bodyPr>
            <a:lstStyle/>
            <a:p>
              <a:r>
                <a:rPr kumimoji="1" lang="en-US" altLang="ja-JP" sz="1100"/>
                <a:t>Wo1</a:t>
              </a:r>
              <a:endParaRPr kumimoji="1" lang="ja-JP" altLang="en-US" sz="1100"/>
            </a:p>
          </xdr:txBody>
        </xdr:sp>
      </xdr:grpSp>
      <xdr:cxnSp macro="">
        <xdr:nvCxnSpPr>
          <xdr:cNvPr id="46" name="直線矢印コネクタ 45"/>
          <xdr:cNvCxnSpPr>
            <a:stCxn id="13" idx="3"/>
            <a:endCxn id="33" idx="1"/>
          </xdr:cNvCxnSpPr>
        </xdr:nvCxnSpPr>
        <xdr:spPr>
          <a:xfrm>
            <a:off x="2445012" y="4399480"/>
            <a:ext cx="879212" cy="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直線矢印コネクタ 48"/>
          <xdr:cNvCxnSpPr>
            <a:stCxn id="13" idx="3"/>
            <a:endCxn id="28" idx="1"/>
          </xdr:cNvCxnSpPr>
        </xdr:nvCxnSpPr>
        <xdr:spPr>
          <a:xfrm flipV="1">
            <a:off x="2445012" y="3504130"/>
            <a:ext cx="983987" cy="89535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直線矢印コネクタ 50"/>
          <xdr:cNvCxnSpPr>
            <a:stCxn id="8" idx="3"/>
            <a:endCxn id="34" idx="1"/>
          </xdr:cNvCxnSpPr>
        </xdr:nvCxnSpPr>
        <xdr:spPr>
          <a:xfrm>
            <a:off x="2445012" y="3304105"/>
            <a:ext cx="983987" cy="91440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直線矢印コネクタ 52"/>
          <xdr:cNvCxnSpPr>
            <a:stCxn id="21" idx="6"/>
            <a:endCxn id="40" idx="1"/>
          </xdr:cNvCxnSpPr>
        </xdr:nvCxnSpPr>
        <xdr:spPr>
          <a:xfrm>
            <a:off x="4171950" y="3300413"/>
            <a:ext cx="1143000" cy="213242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直線矢印コネクタ 54"/>
          <xdr:cNvCxnSpPr>
            <a:stCxn id="32" idx="3"/>
            <a:endCxn id="41" idx="1"/>
          </xdr:cNvCxnSpPr>
        </xdr:nvCxnSpPr>
        <xdr:spPr>
          <a:xfrm flipV="1">
            <a:off x="4178562" y="3913705"/>
            <a:ext cx="1136388" cy="485775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56" name="テキスト ボックス 55"/>
          <xdr:cNvSpPr txBox="1"/>
        </xdr:nvSpPr>
        <xdr:spPr>
          <a:xfrm>
            <a:off x="276225" y="3171825"/>
            <a:ext cx="349648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100"/>
              <a:t>xi0</a:t>
            </a:r>
            <a:endParaRPr kumimoji="1" lang="ja-JP" altLang="en-US" sz="1100"/>
          </a:p>
        </xdr:txBody>
      </xdr:sp>
      <xdr:sp macro="" textlink="">
        <xdr:nvSpPr>
          <xdr:cNvPr id="57" name="テキスト ボックス 56"/>
          <xdr:cNvSpPr txBox="1"/>
        </xdr:nvSpPr>
        <xdr:spPr>
          <a:xfrm>
            <a:off x="295275" y="4267200"/>
            <a:ext cx="349648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100"/>
              <a:t>xi0</a:t>
            </a:r>
            <a:endParaRPr kumimoji="1" lang="ja-JP" altLang="en-US" sz="1100"/>
          </a:p>
        </xdr:txBody>
      </xdr:sp>
      <xdr:cxnSp macro="">
        <xdr:nvCxnSpPr>
          <xdr:cNvPr id="59" name="直線矢印コネクタ 58"/>
          <xdr:cNvCxnSpPr>
            <a:stCxn id="56" idx="3"/>
            <a:endCxn id="9" idx="1"/>
          </xdr:cNvCxnSpPr>
        </xdr:nvCxnSpPr>
        <xdr:spPr>
          <a:xfrm>
            <a:off x="625873" y="3304105"/>
            <a:ext cx="917177" cy="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直線矢印コネクタ 60"/>
          <xdr:cNvCxnSpPr>
            <a:stCxn id="57" idx="3"/>
            <a:endCxn id="14" idx="1"/>
          </xdr:cNvCxnSpPr>
        </xdr:nvCxnSpPr>
        <xdr:spPr>
          <a:xfrm>
            <a:off x="644923" y="4399480"/>
            <a:ext cx="898127" cy="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2" name="テキスト ボックス 61"/>
          <xdr:cNvSpPr txBox="1"/>
        </xdr:nvSpPr>
        <xdr:spPr>
          <a:xfrm>
            <a:off x="7229475" y="3562350"/>
            <a:ext cx="25904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100"/>
              <a:t>o</a:t>
            </a:r>
            <a:endParaRPr kumimoji="1" lang="ja-JP" altLang="en-US" sz="1100"/>
          </a:p>
        </xdr:txBody>
      </xdr:sp>
      <xdr:cxnSp macro="">
        <xdr:nvCxnSpPr>
          <xdr:cNvPr id="64" name="直線矢印コネクタ 63"/>
          <xdr:cNvCxnSpPr>
            <a:stCxn id="42" idx="6"/>
            <a:endCxn id="62" idx="1"/>
          </xdr:cNvCxnSpPr>
        </xdr:nvCxnSpPr>
        <xdr:spPr>
          <a:xfrm flipV="1">
            <a:off x="6096000" y="3694630"/>
            <a:ext cx="1133475" cy="5833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7" name="テキスト ボックス 66"/>
          <xdr:cNvSpPr txBox="1"/>
        </xdr:nvSpPr>
        <xdr:spPr>
          <a:xfrm>
            <a:off x="1504950" y="2543175"/>
            <a:ext cx="949875" cy="264560"/>
          </a:xfrm>
          <a:prstGeom prst="rect">
            <a:avLst/>
          </a:prstGeom>
          <a:solidFill>
            <a:sysClr val="window" lastClr="FFFFFF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100"/>
              <a:t>Dummy</a:t>
            </a:r>
            <a:r>
              <a:rPr kumimoji="1" lang="en-US" altLang="ja-JP" sz="1100" baseline="0"/>
              <a:t> layer</a:t>
            </a:r>
            <a:endParaRPr kumimoji="1" lang="ja-JP" altLang="en-US" sz="1100"/>
          </a:p>
        </xdr:txBody>
      </xdr:sp>
      <xdr:sp macro="" textlink="">
        <xdr:nvSpPr>
          <xdr:cNvPr id="69" name="テキスト ボックス 68"/>
          <xdr:cNvSpPr txBox="1"/>
        </xdr:nvSpPr>
        <xdr:spPr>
          <a:xfrm>
            <a:off x="2857500" y="3086100"/>
            <a:ext cx="4299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kumimoji="1" lang="en-US" altLang="ja-JP" sz="1100"/>
              <a:t>xm0</a:t>
            </a:r>
            <a:endParaRPr kumimoji="1" lang="ja-JP" altLang="en-US" sz="1100"/>
          </a:p>
        </xdr:txBody>
      </xdr:sp>
      <xdr:sp macro="" textlink="">
        <xdr:nvSpPr>
          <xdr:cNvPr id="70" name="テキスト ボックス 69"/>
          <xdr:cNvSpPr txBox="1"/>
        </xdr:nvSpPr>
        <xdr:spPr>
          <a:xfrm>
            <a:off x="2905125" y="3486150"/>
            <a:ext cx="4299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kumimoji="1" lang="en-US" altLang="ja-JP" sz="1100"/>
              <a:t>xm1</a:t>
            </a:r>
            <a:endParaRPr kumimoji="1" lang="ja-JP" altLang="en-US" sz="1100"/>
          </a:p>
        </xdr:txBody>
      </xdr:sp>
      <xdr:sp macro="" textlink="">
        <xdr:nvSpPr>
          <xdr:cNvPr id="71" name="テキスト ボックス 70"/>
          <xdr:cNvSpPr txBox="1"/>
        </xdr:nvSpPr>
        <xdr:spPr>
          <a:xfrm>
            <a:off x="3114675" y="3819525"/>
            <a:ext cx="4299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kumimoji="1" lang="en-US" altLang="ja-JP" sz="1100"/>
              <a:t>xm0</a:t>
            </a:r>
            <a:endParaRPr kumimoji="1" lang="ja-JP" altLang="en-US" sz="1100"/>
          </a:p>
        </xdr:txBody>
      </xdr:sp>
      <xdr:sp macro="" textlink="">
        <xdr:nvSpPr>
          <xdr:cNvPr id="72" name="テキスト ボックス 71"/>
          <xdr:cNvSpPr txBox="1"/>
        </xdr:nvSpPr>
        <xdr:spPr>
          <a:xfrm>
            <a:off x="2876550" y="4181475"/>
            <a:ext cx="4299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kumimoji="1" lang="en-US" altLang="ja-JP" sz="1100"/>
              <a:t>xm1</a:t>
            </a:r>
            <a:endParaRPr kumimoji="1" lang="ja-JP" altLang="en-US" sz="1100"/>
          </a:p>
        </xdr:txBody>
      </xdr:sp>
      <xdr:sp macro="" textlink="">
        <xdr:nvSpPr>
          <xdr:cNvPr id="73" name="テキスト ボックス 72"/>
          <xdr:cNvSpPr txBox="1"/>
        </xdr:nvSpPr>
        <xdr:spPr>
          <a:xfrm>
            <a:off x="4876800" y="3200400"/>
            <a:ext cx="39164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kumimoji="1" lang="en-US" altLang="ja-JP" sz="1100"/>
              <a:t>xo0</a:t>
            </a:r>
            <a:endParaRPr kumimoji="1" lang="ja-JP" altLang="en-US" sz="1100"/>
          </a:p>
        </xdr:txBody>
      </xdr:sp>
      <xdr:sp macro="" textlink="">
        <xdr:nvSpPr>
          <xdr:cNvPr id="74" name="テキスト ボックス 73"/>
          <xdr:cNvSpPr txBox="1"/>
        </xdr:nvSpPr>
        <xdr:spPr>
          <a:xfrm>
            <a:off x="4886325" y="3771900"/>
            <a:ext cx="39164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kumimoji="1" lang="en-US" altLang="ja-JP" sz="1100"/>
              <a:t>xo1</a:t>
            </a:r>
            <a:endParaRPr kumimoji="1" lang="ja-JP" altLang="en-US" sz="1100"/>
          </a:p>
        </xdr:txBody>
      </xdr:sp>
    </xdr:grpSp>
    <xdr:clientData/>
  </xdr:twoCellAnchor>
  <xdr:twoCellAnchor>
    <xdr:from>
      <xdr:col>4</xdr:col>
      <xdr:colOff>57836</xdr:colOff>
      <xdr:row>5</xdr:row>
      <xdr:rowOff>20957</xdr:rowOff>
    </xdr:from>
    <xdr:to>
      <xdr:col>23</xdr:col>
      <xdr:colOff>88786</xdr:colOff>
      <xdr:row>7</xdr:row>
      <xdr:rowOff>2552</xdr:rowOff>
    </xdr:to>
    <xdr:sp macro="" textlink="">
      <xdr:nvSpPr>
        <xdr:cNvPr id="83" name="上矢印 82"/>
        <xdr:cNvSpPr/>
      </xdr:nvSpPr>
      <xdr:spPr>
        <a:xfrm rot="5019640">
          <a:off x="5683213" y="-2975520"/>
          <a:ext cx="324495" cy="8070050"/>
        </a:xfrm>
        <a:prstGeom prst="up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/>
            <a:t>+</a:t>
          </a:r>
          <a:endParaRPr kumimoji="1" lang="ja-JP" altLang="en-US" sz="1100"/>
        </a:p>
      </xdr:txBody>
    </xdr:sp>
    <xdr:clientData/>
  </xdr:twoCellAnchor>
  <xdr:twoCellAnchor>
    <xdr:from>
      <xdr:col>10</xdr:col>
      <xdr:colOff>304470</xdr:colOff>
      <xdr:row>5</xdr:row>
      <xdr:rowOff>39108</xdr:rowOff>
    </xdr:from>
    <xdr:to>
      <xdr:col>15</xdr:col>
      <xdr:colOff>25314</xdr:colOff>
      <xdr:row>7</xdr:row>
      <xdr:rowOff>20703</xdr:rowOff>
    </xdr:to>
    <xdr:sp macro="" textlink="">
      <xdr:nvSpPr>
        <xdr:cNvPr id="82" name="上矢印 81"/>
        <xdr:cNvSpPr/>
      </xdr:nvSpPr>
      <xdr:spPr>
        <a:xfrm rot="3743109">
          <a:off x="5327119" y="159959"/>
          <a:ext cx="324495" cy="1835394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/>
            <a:t>+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14"/>
  <sheetViews>
    <sheetView workbookViewId="0">
      <selection activeCell="C20" sqref="C20"/>
    </sheetView>
  </sheetViews>
  <sheetFormatPr defaultColWidth="5.5" defaultRowHeight="13.5"/>
  <cols>
    <col min="1" max="1" width="6.5" bestFit="1" customWidth="1"/>
    <col min="7" max="7" width="6.125" customWidth="1"/>
    <col min="8" max="8" width="5.875" customWidth="1"/>
    <col min="26" max="26" width="6.375" customWidth="1"/>
    <col min="27" max="27" width="7.375" customWidth="1"/>
  </cols>
  <sheetData>
    <row r="1" spans="1:27">
      <c r="A1" s="17" t="s">
        <v>23</v>
      </c>
      <c r="B1" s="18"/>
      <c r="C1" s="4"/>
      <c r="E1" s="17" t="s">
        <v>24</v>
      </c>
      <c r="F1" s="4"/>
      <c r="G1" s="17" t="s">
        <v>25</v>
      </c>
      <c r="H1" s="4"/>
      <c r="I1" s="17"/>
      <c r="J1" s="4"/>
      <c r="K1" t="s">
        <v>27</v>
      </c>
      <c r="M1" s="17" t="s">
        <v>24</v>
      </c>
      <c r="N1" s="4"/>
      <c r="O1" s="18"/>
      <c r="P1" s="4"/>
      <c r="Q1" s="17" t="s">
        <v>25</v>
      </c>
      <c r="R1" s="4"/>
      <c r="U1" t="s">
        <v>27</v>
      </c>
      <c r="W1" s="17" t="s">
        <v>24</v>
      </c>
      <c r="X1" s="4"/>
      <c r="Y1" s="3" t="s">
        <v>25</v>
      </c>
      <c r="AA1" s="3" t="s">
        <v>26</v>
      </c>
    </row>
    <row r="2" spans="1:27" ht="14.25" thickBot="1">
      <c r="A2" s="13" t="s">
        <v>54</v>
      </c>
      <c r="B2" s="13" t="s">
        <v>53</v>
      </c>
      <c r="C2" s="13" t="s">
        <v>0</v>
      </c>
      <c r="E2" s="13" t="s">
        <v>21</v>
      </c>
      <c r="F2" s="13" t="s">
        <v>22</v>
      </c>
      <c r="G2" s="13" t="s">
        <v>19</v>
      </c>
      <c r="H2" s="13" t="s">
        <v>20</v>
      </c>
      <c r="I2" s="13" t="s">
        <v>17</v>
      </c>
      <c r="J2" s="13" t="s">
        <v>18</v>
      </c>
      <c r="K2" s="13" t="s">
        <v>13</v>
      </c>
      <c r="L2" s="13" t="s">
        <v>14</v>
      </c>
      <c r="M2" s="13" t="s">
        <v>5</v>
      </c>
      <c r="N2" s="13" t="s">
        <v>6</v>
      </c>
      <c r="O2" s="13" t="s">
        <v>8</v>
      </c>
      <c r="P2" s="13" t="s">
        <v>7</v>
      </c>
      <c r="Q2" s="14" t="s">
        <v>9</v>
      </c>
      <c r="R2" s="14" t="s">
        <v>10</v>
      </c>
      <c r="S2" s="13" t="s">
        <v>11</v>
      </c>
      <c r="T2" s="14" t="s">
        <v>12</v>
      </c>
      <c r="U2" s="13" t="s">
        <v>15</v>
      </c>
      <c r="V2" s="13" t="s">
        <v>16</v>
      </c>
      <c r="W2" s="13" t="s">
        <v>3</v>
      </c>
      <c r="X2" s="14" t="s">
        <v>4</v>
      </c>
      <c r="Y2" s="13" t="s">
        <v>35</v>
      </c>
      <c r="Z2" s="13" t="s">
        <v>2</v>
      </c>
      <c r="AA2" s="13" t="s">
        <v>0</v>
      </c>
    </row>
    <row r="3" spans="1:27" ht="14.25" thickTop="1">
      <c r="A3" s="11">
        <v>0</v>
      </c>
      <c r="B3" s="11">
        <v>0</v>
      </c>
      <c r="C3" s="11">
        <v>0</v>
      </c>
      <c r="E3" s="7">
        <v>1</v>
      </c>
      <c r="F3" s="7">
        <v>1</v>
      </c>
      <c r="G3" s="7">
        <v>0</v>
      </c>
      <c r="H3" s="7">
        <v>0</v>
      </c>
      <c r="I3" s="11">
        <f>$E$3*A3-$G$3</f>
        <v>0</v>
      </c>
      <c r="J3" s="11">
        <f>$F$3*B3-$H$3</f>
        <v>0</v>
      </c>
      <c r="K3" s="5">
        <f t="shared" ref="K3:L6" si="0">I3</f>
        <v>0</v>
      </c>
      <c r="L3" s="2">
        <f t="shared" si="0"/>
        <v>0</v>
      </c>
      <c r="M3" s="7">
        <v>-2</v>
      </c>
      <c r="N3" s="7">
        <v>3</v>
      </c>
      <c r="O3" s="7">
        <v>-2</v>
      </c>
      <c r="P3" s="1">
        <v>1</v>
      </c>
      <c r="Q3" s="7">
        <v>-2</v>
      </c>
      <c r="R3" s="7">
        <v>1</v>
      </c>
      <c r="S3" s="11">
        <f>SUMPRODUCT($M$3:$N$3,K3:L3)-$Q$3</f>
        <v>2</v>
      </c>
      <c r="T3" s="11">
        <f>SUMPRODUCT($O$3:$P$3,K3:L3)-$R$3</f>
        <v>-1</v>
      </c>
      <c r="U3" s="5">
        <f t="shared" ref="U3:V6" si="1">1/(1+EXP(-1*S3))</f>
        <v>0.88079707797788231</v>
      </c>
      <c r="V3" s="5">
        <f t="shared" si="1"/>
        <v>0.2689414213699951</v>
      </c>
      <c r="W3" s="12">
        <v>25.131470840820292</v>
      </c>
      <c r="X3" s="12">
        <v>-38.904517211384636</v>
      </c>
      <c r="Y3" s="12">
        <v>15.502017067282662</v>
      </c>
      <c r="Z3" s="11">
        <f>SUMPRODUCT($W$3:$X$3,U3:V3)-$Y$3</f>
        <v>-3.8293271419450186</v>
      </c>
      <c r="AA3" s="15">
        <f>1/(1+EXP(-1*Z3))</f>
        <v>2.126232053521954E-2</v>
      </c>
    </row>
    <row r="4" spans="1:27">
      <c r="A4" s="8">
        <v>0</v>
      </c>
      <c r="B4" s="8">
        <v>1</v>
      </c>
      <c r="C4" s="8">
        <v>0</v>
      </c>
      <c r="E4" s="7"/>
      <c r="F4" s="7"/>
      <c r="G4" s="7"/>
      <c r="H4" s="7"/>
      <c r="I4" s="8">
        <f>$E$3*A4-$G$3</f>
        <v>0</v>
      </c>
      <c r="J4" s="8">
        <f>$F$3*B4-$H$3</f>
        <v>1</v>
      </c>
      <c r="K4" s="3">
        <f t="shared" si="0"/>
        <v>0</v>
      </c>
      <c r="L4" s="2">
        <f t="shared" si="0"/>
        <v>1</v>
      </c>
      <c r="M4" s="7"/>
      <c r="N4" s="7"/>
      <c r="O4" s="7"/>
      <c r="P4" s="1"/>
      <c r="Q4" s="7"/>
      <c r="R4" s="7"/>
      <c r="S4" s="8">
        <f>SUMPRODUCT($M$3:$N$3,K4:L4)-$Q$3</f>
        <v>5</v>
      </c>
      <c r="T4" s="8">
        <f>SUMPRODUCT($O$3:$P$3,K4:L4)-$R$3</f>
        <v>0</v>
      </c>
      <c r="U4" s="3">
        <f t="shared" si="1"/>
        <v>0.99330714907571527</v>
      </c>
      <c r="V4" s="3">
        <f t="shared" si="1"/>
        <v>0.5</v>
      </c>
      <c r="W4" s="7"/>
      <c r="X4" s="7"/>
      <c r="Y4" s="7"/>
      <c r="Z4" s="8">
        <f>SUMPRODUCT($W$3:$X$3,U4:V4)-$Y$3</f>
        <v>-9.9910060200003059</v>
      </c>
      <c r="AA4" s="16">
        <f>1/(1+EXP(-1*Z4))</f>
        <v>4.5807999109487041E-5</v>
      </c>
    </row>
    <row r="5" spans="1:27">
      <c r="A5" s="8">
        <v>1</v>
      </c>
      <c r="B5" s="8">
        <v>0</v>
      </c>
      <c r="C5" s="8">
        <v>0</v>
      </c>
      <c r="E5" s="7"/>
      <c r="F5" s="7"/>
      <c r="G5" s="7"/>
      <c r="H5" s="7"/>
      <c r="I5" s="8">
        <f>$E$3*A5-$G$3</f>
        <v>1</v>
      </c>
      <c r="J5" s="8">
        <f>$F$3*B5-$H$3</f>
        <v>0</v>
      </c>
      <c r="K5" s="3">
        <f t="shared" si="0"/>
        <v>1</v>
      </c>
      <c r="L5" s="2">
        <f t="shared" si="0"/>
        <v>0</v>
      </c>
      <c r="M5" s="7"/>
      <c r="N5" s="7"/>
      <c r="O5" s="7"/>
      <c r="P5" s="9"/>
      <c r="Q5" s="7"/>
      <c r="R5" s="7"/>
      <c r="S5" s="8">
        <f>SUMPRODUCT($M$3:$N$3,K5:L5)-$Q$3</f>
        <v>0</v>
      </c>
      <c r="T5" s="8">
        <f>SUMPRODUCT($O$3:$P$3,K5:L5)-$R$3</f>
        <v>-3</v>
      </c>
      <c r="U5" s="3">
        <f t="shared" si="1"/>
        <v>0.5</v>
      </c>
      <c r="V5" s="3">
        <f t="shared" si="1"/>
        <v>4.7425873177566781E-2</v>
      </c>
      <c r="W5" s="7"/>
      <c r="X5" s="7"/>
      <c r="Y5" s="7"/>
      <c r="Z5" s="8">
        <f>SUMPRODUCT($W$3:$X$3,U5:V5)-$Y$3</f>
        <v>-4.7813623461741077</v>
      </c>
      <c r="AA5" s="16">
        <f>1/(1+EXP(-1*Z5))</f>
        <v>8.3148520517350357E-3</v>
      </c>
    </row>
    <row r="6" spans="1:27">
      <c r="A6" s="8">
        <v>1</v>
      </c>
      <c r="B6" s="8">
        <v>1</v>
      </c>
      <c r="C6" s="8">
        <v>1</v>
      </c>
      <c r="E6" s="5"/>
      <c r="F6" s="5"/>
      <c r="G6" s="5"/>
      <c r="H6" s="5"/>
      <c r="I6" s="8">
        <f>$E$3*A6-$G$3</f>
        <v>1</v>
      </c>
      <c r="J6" s="8">
        <f>$F$3*B6-$H$3</f>
        <v>1</v>
      </c>
      <c r="K6" s="3">
        <f t="shared" si="0"/>
        <v>1</v>
      </c>
      <c r="L6" s="2">
        <f t="shared" si="0"/>
        <v>1</v>
      </c>
      <c r="M6" s="5"/>
      <c r="N6" s="5"/>
      <c r="O6" s="5"/>
      <c r="P6" s="10"/>
      <c r="Q6" s="5"/>
      <c r="R6" s="5"/>
      <c r="S6" s="8">
        <f>SUMPRODUCT($M$3:$N$3,K6:L6)-$Q$3</f>
        <v>3</v>
      </c>
      <c r="T6" s="8">
        <f>SUMPRODUCT($O$3:$P$3,K6:L6)-$R$3</f>
        <v>-2</v>
      </c>
      <c r="U6" s="3">
        <f t="shared" si="1"/>
        <v>0.95257412682243336</v>
      </c>
      <c r="V6" s="3">
        <f t="shared" si="1"/>
        <v>0.11920292202211755</v>
      </c>
      <c r="W6" s="5"/>
      <c r="X6" s="5"/>
      <c r="Y6" s="5"/>
      <c r="Z6" s="8">
        <f>SUMPRODUCT($W$3:$X$3,U6:V6)-$Y$3</f>
        <v>3.8000396932183627</v>
      </c>
      <c r="AA6" s="16">
        <f>1/(1+EXP(-1*Z6))</f>
        <v>0.97811957858109577</v>
      </c>
    </row>
    <row r="10" spans="1:27" ht="14.25" thickBot="1">
      <c r="A10" s="13" t="s">
        <v>33</v>
      </c>
      <c r="B10" s="13" t="s">
        <v>28</v>
      </c>
      <c r="C10" s="13" t="s">
        <v>29</v>
      </c>
      <c r="D10" s="13" t="s">
        <v>32</v>
      </c>
      <c r="E10" s="14" t="s">
        <v>34</v>
      </c>
      <c r="F10" s="13" t="s">
        <v>30</v>
      </c>
      <c r="G10" s="13" t="s">
        <v>31</v>
      </c>
      <c r="H10" s="13" t="s">
        <v>1</v>
      </c>
    </row>
    <row r="11" spans="1:27" ht="14.25" thickTop="1">
      <c r="A11" s="5">
        <f>(C3-AA3)*AA3*(1-AA3)</f>
        <v>-4.4247387126352436E-4</v>
      </c>
      <c r="B11" s="7">
        <v>20</v>
      </c>
      <c r="C11" s="20">
        <f>$B$11*U3*A11</f>
        <v>-7.7945938578094787E-3</v>
      </c>
      <c r="D11" s="20">
        <f>$B$11*V3*A11</f>
        <v>-2.3799910371339297E-3</v>
      </c>
      <c r="E11" s="21">
        <f>$B$11*(-1)*A11</f>
        <v>8.8494774252704869E-3</v>
      </c>
      <c r="F11" s="5">
        <f>C3-AA3</f>
        <v>-2.126232053521954E-2</v>
      </c>
      <c r="G11" s="12">
        <f>SUMPRODUCT(F11:F14,F11:F14)</f>
        <v>9.9997797902628624E-4</v>
      </c>
      <c r="H11" s="6">
        <v>1E-3</v>
      </c>
    </row>
    <row r="12" spans="1:27">
      <c r="A12" s="3">
        <f t="shared" ref="A12:A14" si="2">(C4-AA4)*AA4*(1-AA4)</f>
        <v>-2.0982766601562175E-9</v>
      </c>
      <c r="B12" s="7"/>
      <c r="C12" s="20">
        <f t="shared" ref="C12:C14" si="3">$B$11*U4*A12</f>
        <v>-4.1684664145437719E-8</v>
      </c>
      <c r="D12" s="20">
        <f t="shared" ref="D12:D14" si="4">$B$11*V4*A12</f>
        <v>-2.0982766601562175E-8</v>
      </c>
      <c r="E12" s="19">
        <f t="shared" ref="E12:E14" si="5">$B$11*(-1)*A12</f>
        <v>4.1965533203124351E-8</v>
      </c>
      <c r="F12" s="3">
        <f>C4-AA4</f>
        <v>-4.5807999109487041E-5</v>
      </c>
      <c r="G12" s="7"/>
      <c r="H12" s="7"/>
      <c r="I12" s="1"/>
    </row>
    <row r="13" spans="1:27">
      <c r="A13" s="3">
        <f t="shared" si="2"/>
        <v>-6.8561902672906457E-5</v>
      </c>
      <c r="B13" s="7"/>
      <c r="C13" s="20">
        <f t="shared" si="3"/>
        <v>-6.8561902672906454E-4</v>
      </c>
      <c r="D13" s="20">
        <f t="shared" si="4"/>
        <v>-6.5032162019558763E-5</v>
      </c>
      <c r="E13" s="19">
        <f t="shared" si="5"/>
        <v>1.3712380534581291E-3</v>
      </c>
      <c r="F13" s="3">
        <f>C5-AA5</f>
        <v>-8.3148520517350357E-3</v>
      </c>
      <c r="G13" s="7"/>
      <c r="H13" s="7"/>
      <c r="I13" s="1"/>
    </row>
    <row r="14" spans="1:27">
      <c r="A14" s="3">
        <f t="shared" si="2"/>
        <v>4.6827752754200679E-4</v>
      </c>
      <c r="B14" s="5"/>
      <c r="C14" s="20">
        <f t="shared" si="3"/>
        <v>8.9213811381779022E-3</v>
      </c>
      <c r="D14" s="20">
        <f t="shared" si="4"/>
        <v>1.1164009920059967E-3</v>
      </c>
      <c r="E14" s="19">
        <f t="shared" si="5"/>
        <v>-9.3655505508401359E-3</v>
      </c>
      <c r="F14" s="3">
        <f>C6-AA6</f>
        <v>2.1880421418904228E-2</v>
      </c>
      <c r="G14" s="5"/>
      <c r="H14" s="5"/>
      <c r="I14" s="1"/>
    </row>
  </sheetData>
  <phoneticPr fontId="2"/>
  <pageMargins left="0.7" right="0.7" top="0.75" bottom="0.75" header="0.3" footer="0.3"/>
  <pageSetup paperSize="9" orientation="portrait" horizontalDpi="4294967293" verticalDpi="0" r:id="rId1"/>
  <legacyDrawing r:id="rId2"/>
  <controls>
    <control shapeId="1025" r:id="rId3" name="CommandButton1"/>
    <control shapeId="1026" r:id="rId4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A14"/>
  <sheetViews>
    <sheetView tabSelected="1" workbookViewId="0">
      <selection activeCell="M27" sqref="M27"/>
    </sheetView>
  </sheetViews>
  <sheetFormatPr defaultColWidth="5.5" defaultRowHeight="13.5"/>
  <cols>
    <col min="1" max="1" width="6.5" bestFit="1" customWidth="1"/>
    <col min="15" max="15" width="5.75" customWidth="1"/>
    <col min="16" max="16" width="6.25" customWidth="1"/>
    <col min="26" max="26" width="6.375" customWidth="1"/>
    <col min="27" max="27" width="7.375" customWidth="1"/>
  </cols>
  <sheetData>
    <row r="1" spans="1:27">
      <c r="A1" s="17" t="s">
        <v>50</v>
      </c>
      <c r="B1" s="18"/>
      <c r="C1" s="4"/>
      <c r="E1" s="17" t="s">
        <v>45</v>
      </c>
      <c r="F1" s="4"/>
      <c r="G1" s="17" t="s">
        <v>39</v>
      </c>
      <c r="H1" s="4"/>
      <c r="I1" s="17" t="s">
        <v>46</v>
      </c>
      <c r="J1" s="4"/>
      <c r="K1" t="s">
        <v>51</v>
      </c>
      <c r="M1" s="17" t="s">
        <v>45</v>
      </c>
      <c r="N1" s="4"/>
      <c r="O1" s="18"/>
      <c r="P1" s="4"/>
      <c r="Q1" s="17" t="s">
        <v>39</v>
      </c>
      <c r="R1" s="4"/>
      <c r="S1" s="17" t="s">
        <v>46</v>
      </c>
      <c r="T1" s="4"/>
      <c r="U1" t="s">
        <v>47</v>
      </c>
      <c r="W1" s="17" t="s">
        <v>45</v>
      </c>
      <c r="X1" s="4"/>
      <c r="Y1" s="3" t="s">
        <v>39</v>
      </c>
      <c r="AA1" s="3" t="s">
        <v>48</v>
      </c>
    </row>
    <row r="2" spans="1:27" ht="14.25" thickBot="1">
      <c r="A2" s="13" t="s">
        <v>52</v>
      </c>
      <c r="B2" s="13" t="s">
        <v>53</v>
      </c>
      <c r="C2" s="13" t="s">
        <v>0</v>
      </c>
      <c r="E2" s="13" t="s">
        <v>21</v>
      </c>
      <c r="F2" s="13" t="s">
        <v>22</v>
      </c>
      <c r="G2" s="13" t="s">
        <v>19</v>
      </c>
      <c r="H2" s="13" t="s">
        <v>20</v>
      </c>
      <c r="I2" s="13" t="s">
        <v>17</v>
      </c>
      <c r="J2" s="13" t="s">
        <v>18</v>
      </c>
      <c r="K2" s="13" t="s">
        <v>13</v>
      </c>
      <c r="L2" s="13" t="s">
        <v>14</v>
      </c>
      <c r="M2" s="13" t="s">
        <v>5</v>
      </c>
      <c r="N2" s="13" t="s">
        <v>6</v>
      </c>
      <c r="O2" s="13" t="s">
        <v>8</v>
      </c>
      <c r="P2" s="13" t="s">
        <v>7</v>
      </c>
      <c r="Q2" s="14" t="s">
        <v>9</v>
      </c>
      <c r="R2" s="14" t="s">
        <v>10</v>
      </c>
      <c r="S2" s="13" t="s">
        <v>11</v>
      </c>
      <c r="T2" s="14" t="s">
        <v>12</v>
      </c>
      <c r="U2" s="13" t="s">
        <v>15</v>
      </c>
      <c r="V2" s="13" t="s">
        <v>16</v>
      </c>
      <c r="W2" s="13" t="s">
        <v>3</v>
      </c>
      <c r="X2" s="14" t="s">
        <v>4</v>
      </c>
      <c r="Y2" s="13" t="s">
        <v>35</v>
      </c>
      <c r="Z2" s="13" t="s">
        <v>2</v>
      </c>
      <c r="AA2" s="13" t="s">
        <v>0</v>
      </c>
    </row>
    <row r="3" spans="1:27" ht="14.25" thickTop="1">
      <c r="A3" s="11">
        <v>0</v>
      </c>
      <c r="B3" s="11">
        <v>0</v>
      </c>
      <c r="C3" s="23">
        <v>0</v>
      </c>
      <c r="E3" s="7">
        <v>1</v>
      </c>
      <c r="F3" s="7">
        <v>1</v>
      </c>
      <c r="G3" s="7">
        <v>0</v>
      </c>
      <c r="H3" s="7">
        <v>0</v>
      </c>
      <c r="I3" s="11">
        <f>$E$3*A3-$G$3</f>
        <v>0</v>
      </c>
      <c r="J3" s="11">
        <f>$F$3*B3-$H$3</f>
        <v>0</v>
      </c>
      <c r="K3" s="5">
        <f t="shared" ref="K3:L6" si="0">I3</f>
        <v>0</v>
      </c>
      <c r="L3" s="2">
        <f t="shared" si="0"/>
        <v>0</v>
      </c>
      <c r="M3" s="12">
        <v>-5.0644327119081503</v>
      </c>
      <c r="N3" s="12">
        <v>-3.9391273344147666</v>
      </c>
      <c r="O3" s="12">
        <v>-5.1916843420636996</v>
      </c>
      <c r="P3" s="22">
        <v>-3.5321138253052564</v>
      </c>
      <c r="Q3" s="12">
        <v>-6.1659833770526058</v>
      </c>
      <c r="R3" s="12">
        <v>-5.9788073501441135</v>
      </c>
      <c r="S3" s="11">
        <f>SUMPRODUCT($M$3:$N$3,K3:L3)-$Q$3</f>
        <v>6.1659833770526058</v>
      </c>
      <c r="T3" s="11">
        <f>SUMPRODUCT($O$3:$P$3,K3:L3)-$R$3</f>
        <v>5.9788073501441135</v>
      </c>
      <c r="U3" s="5">
        <f t="shared" ref="U3:V6" si="1">1/(1+EXP(-1*S3))</f>
        <v>0.99790474670516716</v>
      </c>
      <c r="V3" s="5">
        <f t="shared" si="1"/>
        <v>0.99747454995002216</v>
      </c>
      <c r="W3" s="12">
        <v>-5.8534801684934088</v>
      </c>
      <c r="X3" s="12">
        <v>-5.72937236790718</v>
      </c>
      <c r="Y3" s="12">
        <v>-4.2785241908125009</v>
      </c>
      <c r="Z3" s="11">
        <f>SUMPRODUCT($W$3:$X$3,U3:V3)-$Y$3</f>
        <v>-7.2775945782459406</v>
      </c>
      <c r="AA3" s="15">
        <f>1/(1+EXP(-1*Z3))</f>
        <v>6.9036840327726706E-4</v>
      </c>
    </row>
    <row r="4" spans="1:27">
      <c r="A4" s="8">
        <v>0</v>
      </c>
      <c r="B4" s="8">
        <v>1</v>
      </c>
      <c r="C4" s="24">
        <v>0</v>
      </c>
      <c r="E4" s="7"/>
      <c r="F4" s="7"/>
      <c r="G4" s="7"/>
      <c r="H4" s="7"/>
      <c r="I4" s="8">
        <f>$E$3*A4-$G$3</f>
        <v>0</v>
      </c>
      <c r="J4" s="8">
        <f>$F$3*B4-$H$3</f>
        <v>1</v>
      </c>
      <c r="K4" s="3">
        <f t="shared" si="0"/>
        <v>0</v>
      </c>
      <c r="L4" s="2">
        <f t="shared" si="0"/>
        <v>1</v>
      </c>
      <c r="M4" s="7"/>
      <c r="N4" s="7"/>
      <c r="O4" s="7"/>
      <c r="P4" s="1"/>
      <c r="Q4" s="7"/>
      <c r="R4" s="7"/>
      <c r="S4" s="8">
        <f>SUMPRODUCT($M$3:$N$3,K4:L4)-$Q$3</f>
        <v>2.2268560426378392</v>
      </c>
      <c r="T4" s="8">
        <f>SUMPRODUCT($O$3:$P$3,K4:L4)-$R$3</f>
        <v>2.446693524838857</v>
      </c>
      <c r="U4" s="3">
        <f t="shared" si="1"/>
        <v>0.90263540271349851</v>
      </c>
      <c r="V4" s="3">
        <f t="shared" si="1"/>
        <v>0.92031931819871504</v>
      </c>
      <c r="W4" s="7"/>
      <c r="X4" s="7"/>
      <c r="Y4" s="7"/>
      <c r="Z4" s="8">
        <f>SUMPRODUCT($W$3:$X$3,U4:V4)-$Y$3</f>
        <v>-6.2778863096899187</v>
      </c>
      <c r="AA4" s="16">
        <f>1/(1+EXP(-1*Z4))</f>
        <v>1.8738466773757893E-3</v>
      </c>
    </row>
    <row r="5" spans="1:27">
      <c r="A5" s="8">
        <v>1</v>
      </c>
      <c r="B5" s="8">
        <v>0</v>
      </c>
      <c r="C5" s="24">
        <v>0</v>
      </c>
      <c r="E5" s="7"/>
      <c r="F5" s="7"/>
      <c r="G5" s="7"/>
      <c r="H5" s="7"/>
      <c r="I5" s="8">
        <f>$E$3*A5-$G$3</f>
        <v>1</v>
      </c>
      <c r="J5" s="8">
        <f>$F$3*B5-$H$3</f>
        <v>0</v>
      </c>
      <c r="K5" s="3">
        <f t="shared" si="0"/>
        <v>1</v>
      </c>
      <c r="L5" s="2">
        <f t="shared" si="0"/>
        <v>0</v>
      </c>
      <c r="M5" s="7"/>
      <c r="N5" s="7"/>
      <c r="O5" s="7"/>
      <c r="P5" s="9"/>
      <c r="Q5" s="7"/>
      <c r="R5" s="7"/>
      <c r="S5" s="8">
        <f>SUMPRODUCT($M$3:$N$3,K5:L5)-$Q$3</f>
        <v>1.1015506651444555</v>
      </c>
      <c r="T5" s="8">
        <f>SUMPRODUCT($O$3:$P$3,K5:L5)-$R$3</f>
        <v>0.78712300808041391</v>
      </c>
      <c r="U5" s="3">
        <f t="shared" si="1"/>
        <v>0.75055054076918692</v>
      </c>
      <c r="V5" s="3">
        <f t="shared" si="1"/>
        <v>0.68721325105204023</v>
      </c>
      <c r="W5" s="7"/>
      <c r="X5" s="7"/>
      <c r="Y5" s="7"/>
      <c r="Z5" s="8">
        <f>SUMPRODUCT($W$3:$X$3,U5:V5)-$Y$3</f>
        <v>-4.0521091264691584</v>
      </c>
      <c r="AA5" s="16">
        <f>1/(1+EXP(-1*Z5))</f>
        <v>1.708857115772195E-2</v>
      </c>
    </row>
    <row r="6" spans="1:27">
      <c r="A6" s="8">
        <v>1</v>
      </c>
      <c r="B6" s="8">
        <v>1</v>
      </c>
      <c r="C6" s="24">
        <v>1</v>
      </c>
      <c r="E6" s="5"/>
      <c r="F6" s="5"/>
      <c r="G6" s="5"/>
      <c r="H6" s="5"/>
      <c r="I6" s="8">
        <f>$E$3*A6-$G$3</f>
        <v>1</v>
      </c>
      <c r="J6" s="8">
        <f>$F$3*B6-$H$3</f>
        <v>1</v>
      </c>
      <c r="K6" s="3">
        <f t="shared" si="0"/>
        <v>1</v>
      </c>
      <c r="L6" s="2">
        <f t="shared" si="0"/>
        <v>1</v>
      </c>
      <c r="M6" s="5"/>
      <c r="N6" s="5"/>
      <c r="O6" s="5"/>
      <c r="P6" s="10"/>
      <c r="Q6" s="5"/>
      <c r="R6" s="5"/>
      <c r="S6" s="8">
        <f>SUMPRODUCT($M$3:$N$3,K6:L6)-$Q$3</f>
        <v>-2.8375766692703115</v>
      </c>
      <c r="T6" s="8">
        <f>SUMPRODUCT($O$3:$P$3,K6:L6)-$R$3</f>
        <v>-2.7449908172248429</v>
      </c>
      <c r="U6" s="3">
        <f t="shared" si="1"/>
        <v>5.5327059127856446E-2</v>
      </c>
      <c r="V6" s="3">
        <f t="shared" si="1"/>
        <v>6.0370174188367258E-2</v>
      </c>
      <c r="W6" s="5"/>
      <c r="X6" s="5"/>
      <c r="Y6" s="5"/>
      <c r="Z6" s="8">
        <f>SUMPRODUCT($W$3:$X$3,U6:V6)-$Y$3</f>
        <v>3.6087851395859563</v>
      </c>
      <c r="AA6" s="16">
        <f>1/(1+EXP(-1*Z6))</f>
        <v>0.97362950666473425</v>
      </c>
    </row>
    <row r="9" spans="1:27">
      <c r="A9" t="s">
        <v>49</v>
      </c>
    </row>
    <row r="10" spans="1:27" ht="14.25" thickBot="1">
      <c r="A10" s="13" t="s">
        <v>33</v>
      </c>
      <c r="B10" s="13" t="s">
        <v>28</v>
      </c>
      <c r="C10" s="13" t="s">
        <v>29</v>
      </c>
      <c r="D10" s="13" t="s">
        <v>32</v>
      </c>
      <c r="E10" s="27" t="s">
        <v>34</v>
      </c>
      <c r="F10" s="14" t="s">
        <v>36</v>
      </c>
      <c r="G10" s="14" t="s">
        <v>37</v>
      </c>
      <c r="H10" s="14" t="s">
        <v>38</v>
      </c>
      <c r="I10" s="14" t="s">
        <v>40</v>
      </c>
      <c r="J10" s="14" t="s">
        <v>41</v>
      </c>
      <c r="K10" s="14" t="s">
        <v>42</v>
      </c>
      <c r="L10" s="14" t="s">
        <v>43</v>
      </c>
      <c r="M10" s="14" t="s">
        <v>44</v>
      </c>
      <c r="N10" s="28" t="s">
        <v>30</v>
      </c>
      <c r="O10" s="13" t="s">
        <v>31</v>
      </c>
      <c r="P10" s="13" t="s">
        <v>1</v>
      </c>
    </row>
    <row r="11" spans="1:27" ht="14.25" thickTop="1">
      <c r="A11" s="5">
        <f>(C3-AA3)*AA3*(1-AA3)</f>
        <v>-4.7627949677220987E-7</v>
      </c>
      <c r="B11" s="7">
        <v>20</v>
      </c>
      <c r="C11" s="20">
        <f>$B$11*U3*A11</f>
        <v>-9.5056314117467313E-6</v>
      </c>
      <c r="D11" s="20">
        <f>$B$11*V3*A11</f>
        <v>-9.5015335338656617E-6</v>
      </c>
      <c r="E11" s="25">
        <f>$B$11*(-1)*A11</f>
        <v>9.5255899354441971E-6</v>
      </c>
      <c r="F11" s="5">
        <f>$U3*(1-$U3)*$W$3*($C3-$AA3)*$AA3*(1-$AA3)</f>
        <v>5.8291020435214676E-9</v>
      </c>
      <c r="G11" s="5">
        <f>$V3*(1-$V3)*$X$3*($C3-$AA3)*$AA3*(1-$AA3)</f>
        <v>6.8740002268783441E-9</v>
      </c>
      <c r="H11" s="20">
        <f>$B$11*A3*F11</f>
        <v>0</v>
      </c>
      <c r="I11" s="20">
        <f>$B$11*B3*F11</f>
        <v>0</v>
      </c>
      <c r="J11" s="20">
        <f>$B$11*A3*G11</f>
        <v>0</v>
      </c>
      <c r="K11" s="20">
        <f>$B$11*B3*G11</f>
        <v>0</v>
      </c>
      <c r="L11" s="20">
        <f>$B$11*(-1)*F11</f>
        <v>-1.1658204087042935E-7</v>
      </c>
      <c r="M11" s="20">
        <f>$B$11*(-1)*G11</f>
        <v>-1.3748000453756689E-7</v>
      </c>
      <c r="N11" s="2">
        <f>C3-AA3</f>
        <v>-6.9036840327726706E-4</v>
      </c>
      <c r="O11" s="12">
        <f>SUMPRODUCT(N11:N14,N11:N14)</f>
        <v>9.9141009286037788E-4</v>
      </c>
      <c r="P11" s="6">
        <v>1E-3</v>
      </c>
    </row>
    <row r="12" spans="1:27">
      <c r="A12" s="3">
        <f t="shared" ref="A12:A14" si="2">(C4-AA4)*AA4*(1-AA4)</f>
        <v>-3.5047217299062609E-6</v>
      </c>
      <c r="B12" s="7"/>
      <c r="C12" s="20">
        <f t="shared" ref="C12:C14" si="3">$B$11*U4*A12</f>
        <v>-6.3269718201453747E-5</v>
      </c>
      <c r="D12" s="20">
        <f t="shared" ref="D12:D14" si="4">$B$11*V4*A12</f>
        <v>-6.4509262258871021E-5</v>
      </c>
      <c r="E12" s="26">
        <f t="shared" ref="E12:E14" si="5">$B$11*(-1)*A12</f>
        <v>7.0094434598125211E-5</v>
      </c>
      <c r="F12" s="3">
        <f t="shared" ref="F12:F13" si="6">$U4*(1-$U4)*$W$3*($C4-$AA4)*$AA4*(1-$AA4)</f>
        <v>1.8029393922142058E-6</v>
      </c>
      <c r="G12" s="3">
        <f t="shared" ref="G12:G14" si="7">$V4*(1-$V4)*$X$3*($C4-$AA4)*$AA4*(1-$AA4)</f>
        <v>1.4724893768910586E-6</v>
      </c>
      <c r="H12" s="19">
        <f t="shared" ref="H12:H14" si="8">$B$11*A4*F12</f>
        <v>0</v>
      </c>
      <c r="I12" s="19">
        <f t="shared" ref="I12:I14" si="9">$B$11*B4*F12</f>
        <v>3.6058787844284114E-5</v>
      </c>
      <c r="J12" s="19">
        <f t="shared" ref="J12:J14" si="10">$B$11*A4*G12</f>
        <v>0</v>
      </c>
      <c r="K12" s="19">
        <f t="shared" ref="K12:K14" si="11">$B$11*B4*G12</f>
        <v>2.9449787537821173E-5</v>
      </c>
      <c r="L12" s="19">
        <f t="shared" ref="L12:L14" si="12">$B$11*(-1)*F12</f>
        <v>-3.6058787844284114E-5</v>
      </c>
      <c r="M12" s="19">
        <f t="shared" ref="M12:M14" si="13">$B$11*(-1)*G12</f>
        <v>-2.9449787537821173E-5</v>
      </c>
      <c r="N12" s="4">
        <f>C4-AA4</f>
        <v>-1.8738466773757893E-3</v>
      </c>
      <c r="O12" s="7"/>
      <c r="P12" s="7"/>
    </row>
    <row r="13" spans="1:27">
      <c r="A13" s="3">
        <f t="shared" si="2"/>
        <v>-2.870290722366051E-4</v>
      </c>
      <c r="B13" s="7"/>
      <c r="C13" s="20">
        <f t="shared" si="3"/>
        <v>-4.3085965076732399E-3</v>
      </c>
      <c r="D13" s="20">
        <f t="shared" si="4"/>
        <v>-3.9450036375633657E-3</v>
      </c>
      <c r="E13" s="26">
        <f t="shared" si="5"/>
        <v>5.7405814447321016E-3</v>
      </c>
      <c r="F13" s="3">
        <f t="shared" si="6"/>
        <v>3.1455931291286457E-4</v>
      </c>
      <c r="G13" s="3">
        <f t="shared" si="7"/>
        <v>3.5348647990242837E-4</v>
      </c>
      <c r="H13" s="19">
        <f t="shared" si="8"/>
        <v>6.2911862582572912E-3</v>
      </c>
      <c r="I13" s="19">
        <f t="shared" si="9"/>
        <v>0</v>
      </c>
      <c r="J13" s="19">
        <f t="shared" si="10"/>
        <v>7.0697295980485676E-3</v>
      </c>
      <c r="K13" s="19">
        <f t="shared" si="11"/>
        <v>0</v>
      </c>
      <c r="L13" s="19">
        <f t="shared" si="12"/>
        <v>-6.2911862582572912E-3</v>
      </c>
      <c r="M13" s="19">
        <f t="shared" si="13"/>
        <v>-7.0697295980485676E-3</v>
      </c>
      <c r="N13" s="4">
        <f>C5-AA5</f>
        <v>-1.708857115772195E-2</v>
      </c>
      <c r="O13" s="7"/>
      <c r="P13" s="7"/>
    </row>
    <row r="14" spans="1:27">
      <c r="A14" s="3">
        <f t="shared" si="2"/>
        <v>6.7706480071119842E-4</v>
      </c>
      <c r="B14" s="5"/>
      <c r="C14" s="20">
        <f t="shared" si="3"/>
        <v>7.4920008524677632E-4</v>
      </c>
      <c r="D14" s="20">
        <f t="shared" si="4"/>
        <v>8.1749039911494415E-4</v>
      </c>
      <c r="E14" s="26">
        <f t="shared" si="5"/>
        <v>-1.3541296014223969E-2</v>
      </c>
      <c r="F14" s="3">
        <f>$U6*(1-$U6)*$W$3*($C6-$AA6)*$AA6*(1-$AA6)</f>
        <v>-2.071397507876571E-4</v>
      </c>
      <c r="G14" s="3">
        <f t="shared" si="7"/>
        <v>-2.2004753510469129E-4</v>
      </c>
      <c r="H14" s="19">
        <f t="shared" si="8"/>
        <v>-4.1427950157531422E-3</v>
      </c>
      <c r="I14" s="19">
        <f t="shared" si="9"/>
        <v>-4.1427950157531422E-3</v>
      </c>
      <c r="J14" s="19">
        <f t="shared" si="10"/>
        <v>-4.4009507020938256E-3</v>
      </c>
      <c r="K14" s="19">
        <f t="shared" si="11"/>
        <v>-4.4009507020938256E-3</v>
      </c>
      <c r="L14" s="19">
        <f t="shared" si="12"/>
        <v>4.1427950157531422E-3</v>
      </c>
      <c r="M14" s="19">
        <f t="shared" si="13"/>
        <v>4.4009507020938256E-3</v>
      </c>
      <c r="N14" s="4">
        <f>C6-AA6</f>
        <v>2.6370493335265754E-2</v>
      </c>
      <c r="O14" s="5"/>
      <c r="P14" s="5"/>
    </row>
  </sheetData>
  <phoneticPr fontId="2"/>
  <pageMargins left="0.7" right="0.7" top="0.75" bottom="0.75" header="0.3" footer="0.3"/>
  <pageSetup paperSize="9" orientation="portrait" horizontalDpi="4294967293" verticalDpi="0" r:id="rId1"/>
  <drawing r:id="rId2"/>
  <legacyDrawing r:id="rId3"/>
  <controls>
    <control shapeId="2049" r:id="rId4" name="CommandButton3"/>
    <control shapeId="2050" r:id="rId5" name="CommandButton4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Perceptron</vt:lpstr>
      <vt:lpstr>Backpropagation</vt:lpstr>
      <vt:lpstr>Sheet3</vt:lpstr>
    </vt:vector>
  </TitlesOfParts>
  <Company>IIYAMA PC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Yo1</dc:creator>
  <cp:lastModifiedBy>Yo1</cp:lastModifiedBy>
  <dcterms:created xsi:type="dcterms:W3CDTF">2015-10-11T05:17:50Z</dcterms:created>
  <dcterms:modified xsi:type="dcterms:W3CDTF">2015-10-12T13:09:14Z</dcterms:modified>
</cp:coreProperties>
</file>